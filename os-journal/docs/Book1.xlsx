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ece\Documents\GitHub\WILR96.github.io\os-journal\docs\"/>
    </mc:Choice>
  </mc:AlternateContent>
  <xr:revisionPtr revIDLastSave="0" documentId="13_ncr:1_{8908A068-4773-4D1B-AE9E-EFA3581B53FE}" xr6:coauthVersionLast="47" xr6:coauthVersionMax="47" xr10:uidLastSave="{00000000-0000-0000-0000-000000000000}"/>
  <bookViews>
    <workbookView xWindow="-120" yWindow="-120" windowWidth="29040" windowHeight="15990" xr2:uid="{9558FD33-E1CF-4CA0-9B02-4CF5A6E25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6" i="1" l="1"/>
  <c r="G146" i="1"/>
  <c r="H146" i="1"/>
  <c r="I146" i="1"/>
  <c r="J146" i="1"/>
  <c r="K146" i="1"/>
  <c r="L146" i="1"/>
  <c r="M146" i="1"/>
  <c r="F145" i="1"/>
  <c r="G145" i="1"/>
  <c r="H145" i="1"/>
  <c r="I145" i="1"/>
  <c r="J145" i="1"/>
  <c r="K145" i="1"/>
  <c r="L145" i="1"/>
  <c r="M145" i="1"/>
  <c r="F144" i="1"/>
  <c r="G144" i="1"/>
  <c r="H144" i="1"/>
  <c r="I144" i="1"/>
  <c r="J144" i="1"/>
  <c r="K144" i="1"/>
  <c r="L144" i="1"/>
  <c r="M144" i="1"/>
  <c r="F143" i="1"/>
  <c r="G143" i="1"/>
  <c r="H143" i="1"/>
  <c r="I143" i="1"/>
  <c r="J143" i="1"/>
  <c r="K143" i="1"/>
  <c r="L143" i="1"/>
  <c r="M143" i="1"/>
  <c r="E146" i="1"/>
  <c r="E145" i="1"/>
  <c r="E144" i="1"/>
  <c r="E143" i="1"/>
  <c r="F142" i="1"/>
  <c r="G142" i="1"/>
  <c r="H142" i="1"/>
  <c r="I142" i="1"/>
  <c r="J142" i="1"/>
  <c r="K142" i="1"/>
  <c r="L142" i="1"/>
  <c r="M142" i="1"/>
  <c r="E142" i="1"/>
</calcChain>
</file>

<file path=xl/sharedStrings.xml><?xml version="1.0" encoding="utf-8"?>
<sst xmlns="http://schemas.openxmlformats.org/spreadsheetml/2006/main" count="93" uniqueCount="34">
  <si>
    <t>-- Load Averages --</t>
  </si>
  <si>
    <t>-- CPU Usage (% idle) --</t>
  </si>
  <si>
    <t>1min</t>
  </si>
  <si>
    <t>5min</t>
  </si>
  <si>
    <t>15min</t>
  </si>
  <si>
    <t>Cpu idle %</t>
  </si>
  <si>
    <t>used</t>
  </si>
  <si>
    <t>buffer/cache</t>
  </si>
  <si>
    <t>Iteration</t>
  </si>
  <si>
    <t>Memory Usage</t>
  </si>
  <si>
    <t>Temp (°C)</t>
  </si>
  <si>
    <t>Load 1min</t>
  </si>
  <si>
    <t>Load 5min</t>
  </si>
  <si>
    <t>Load 15min</t>
  </si>
  <si>
    <t>CPU Idle (%)</t>
  </si>
  <si>
    <t>Mem Used (MiB)</t>
  </si>
  <si>
    <t>Swap Used (MiB)</t>
  </si>
  <si>
    <t>Disk Write MB/s</t>
  </si>
  <si>
    <t>Disk Read GB/s</t>
  </si>
  <si>
    <t>line</t>
  </si>
  <si>
    <t>Memcached</t>
  </si>
  <si>
    <t>SQLite</t>
  </si>
  <si>
    <t>iperf3</t>
  </si>
  <si>
    <t>Write</t>
  </si>
  <si>
    <t>Time (s)</t>
  </si>
  <si>
    <t>Speed (MB/s)</t>
  </si>
  <si>
    <t>Read</t>
  </si>
  <si>
    <t>Ffmpeg</t>
  </si>
  <si>
    <t>LuantiServer</t>
  </si>
  <si>
    <t>Application</t>
  </si>
  <si>
    <t>iperf4</t>
  </si>
  <si>
    <t>iperf5</t>
  </si>
  <si>
    <t>iperf6</t>
  </si>
  <si>
    <t>iperf7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</si>
</sst>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Load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Sheet1!$B$6</c:f>
              <c:strCache>
                <c:ptCount val="1"/>
                <c:pt idx="0">
                  <c:v>1min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Sheet1!$A$7:$A$11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Sheet1!$B$7:$B$11</c:f>
              <c:numCache>
                <c:formatCode>General</c:formatCode>
                <c:ptCount val="5"/>
                <c:pt idx="0">
                  <c:v>1.18</c:v>
                </c:pt>
                <c:pt idx="1">
                  <c:v>4.99</c:v>
                </c:pt>
                <c:pt idx="2">
                  <c:v>5.55</c:v>
                </c:pt>
                <c:pt idx="3">
                  <c:v>5.33</c:v>
                </c:pt>
                <c:pt idx="4">
                  <c:v>6.87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F7-4D50-A2F1-1488AA56C4D9}"/>
            </c:ext>
          </c:extLst>
        </c:ser>
        <c:ser>
          <c:idx val="1"/>
          <c:order val="1"/>
          <c:tx>
            <c:strRef>
              <c:f>Sheet1!$C$6</c:f>
              <c:strCache>
                <c:ptCount val="1"/>
                <c:pt idx="0">
                  <c:v>5min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Sheet1!$A$7:$A$11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Sheet1!$C$7:$C$11</c:f>
              <c:numCache>
                <c:formatCode>General</c:formatCode>
                <c:ptCount val="5"/>
                <c:pt idx="0">
                  <c:v>1.95</c:v>
                </c:pt>
                <c:pt idx="1">
                  <c:v>3.01</c:v>
                </c:pt>
                <c:pt idx="2">
                  <c:v>3.71</c:v>
                </c:pt>
                <c:pt idx="3">
                  <c:v>3.95</c:v>
                </c:pt>
                <c:pt idx="4">
                  <c:v>4.71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F7-4D50-A2F1-1488AA56C4D9}"/>
            </c:ext>
          </c:extLst>
        </c:ser>
        <c:ser>
          <c:idx val="2"/>
          <c:order val="2"/>
          <c:tx>
            <c:strRef>
              <c:f>Sheet1!$D$6</c:f>
              <c:strCache>
                <c:ptCount val="1"/>
                <c:pt idx="0">
                  <c:v>15min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Sheet1!$A$7:$A$11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Sheet1!$D$7:$D$11</c:f>
              <c:numCache>
                <c:formatCode>General</c:formatCode>
                <c:ptCount val="5"/>
                <c:pt idx="0">
                  <c:v>0.96</c:v>
                </c:pt>
                <c:pt idx="1">
                  <c:v>1.4</c:v>
                </c:pt>
                <c:pt idx="2">
                  <c:v>1.78</c:v>
                </c:pt>
                <c:pt idx="3">
                  <c:v>2.0099999999999998</c:v>
                </c:pt>
                <c:pt idx="4">
                  <c:v>2.4300000000000002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F7-4D50-A2F1-1488AA56C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7866463"/>
        <c:axId val="687865983"/>
      </c:lineChart>
      <c:catAx>
        <c:axId val="687866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Iteration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865983"/>
        <c:crosses val="autoZero"/>
        <c:auto val="1"/>
        <c:lblAlgn val="ctr"/>
        <c:lblOffset val="100"/>
        <c:noMultiLvlLbl val="0"/>
      </c:catAx>
      <c:valAx>
        <c:axId val="68786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/>
                  <a:t>Load Average (Processes)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866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Memory</a:t>
            </a:r>
            <a:r>
              <a:rPr lang="en-GB" baseline="0"/>
              <a:t> Usage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Sheet1!$F$33</c:f>
              <c:strCache>
                <c:ptCount val="1"/>
                <c:pt idx="0">
                  <c:v>used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Sheet1!$E$34:$E$38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Sheet1!$F$34:$F$38</c:f>
              <c:numCache>
                <c:formatCode>General</c:formatCode>
                <c:ptCount val="5"/>
                <c:pt idx="0">
                  <c:v>308.89999999999998</c:v>
                </c:pt>
                <c:pt idx="1">
                  <c:v>597.70000000000005</c:v>
                </c:pt>
                <c:pt idx="2">
                  <c:v>594.1</c:v>
                </c:pt>
                <c:pt idx="3">
                  <c:v>602</c:v>
                </c:pt>
                <c:pt idx="4">
                  <c:v>595.9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9C-4E9D-9191-12D5D6C1857F}"/>
            </c:ext>
          </c:extLst>
        </c:ser>
        <c:ser>
          <c:idx val="1"/>
          <c:order val="1"/>
          <c:tx>
            <c:strRef>
              <c:f>Sheet1!$G$33</c:f>
              <c:strCache>
                <c:ptCount val="1"/>
                <c:pt idx="0">
                  <c:v>buffer/cache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Sheet1!$E$34:$E$38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Sheet1!$G$34:$G$38</c:f>
              <c:numCache>
                <c:formatCode>General</c:formatCode>
                <c:ptCount val="5"/>
                <c:pt idx="0">
                  <c:v>621.79999999999995</c:v>
                </c:pt>
                <c:pt idx="1">
                  <c:v>623.5</c:v>
                </c:pt>
                <c:pt idx="2">
                  <c:v>625.29999999999995</c:v>
                </c:pt>
                <c:pt idx="3">
                  <c:v>623</c:v>
                </c:pt>
                <c:pt idx="4">
                  <c:v>624.79999999999995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9C-4E9D-9191-12D5D6C18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4594319"/>
        <c:axId val="954593359"/>
      </c:barChart>
      <c:catAx>
        <c:axId val="9545943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 b="0" i="0" baseline="0">
                    <a:effectLst/>
                  </a:rPr>
                  <a:t>Iteration</a:t>
                </a:r>
                <a:endParaRPr lang="en-GB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593359"/>
        <c:crosses val="autoZero"/>
        <c:auto val="1"/>
        <c:lblAlgn val="ctr"/>
        <c:lblOffset val="100"/>
        <c:noMultiLvlLbl val="0"/>
      </c:catAx>
      <c:valAx>
        <c:axId val="95459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MiB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594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Sheet1!$S$5</c:f>
              <c:strCache>
                <c:ptCount val="1"/>
                <c:pt idx="0">
                  <c:v>Cpu idle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Sheet1!$R$6:$R$10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Sheet1!$S$6:$S$10</c:f>
              <c:numCache>
                <c:formatCode>General</c:formatCode>
                <c:ptCount val="5"/>
                <c:pt idx="0">
                  <c:v>97.7</c:v>
                </c:pt>
                <c:pt idx="1">
                  <c:v>6.8</c:v>
                </c:pt>
                <c:pt idx="2">
                  <c:v>22.7</c:v>
                </c:pt>
                <c:pt idx="3">
                  <c:v>19.600000000000001</c:v>
                </c:pt>
                <c:pt idx="4">
                  <c:v>12.8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E1-4A4D-991A-3A82063EE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7692351"/>
        <c:axId val="857694751"/>
      </c:lineChart>
      <c:catAx>
        <c:axId val="85769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694751"/>
        <c:crosses val="autoZero"/>
        <c:auto val="1"/>
        <c:lblAlgn val="ctr"/>
        <c:lblOffset val="100"/>
        <c:noMultiLvlLbl val="0"/>
      </c:catAx>
      <c:valAx>
        <c:axId val="85769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692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Sheet1!$F$15</c:f>
              <c:strCache>
                <c:ptCount val="1"/>
                <c:pt idx="0">
                  <c:v>Temp (°C)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Sheet1!$E$16:$E$20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Sheet1!$F$16:$F$20</c:f>
              <c:numCache>
                <c:formatCode>General</c:formatCode>
                <c:ptCount val="5"/>
                <c:pt idx="0">
                  <c:v>59.4</c:v>
                </c:pt>
                <c:pt idx="1">
                  <c:v>72</c:v>
                </c:pt>
                <c:pt idx="2">
                  <c:v>64.2</c:v>
                </c:pt>
                <c:pt idx="3">
                  <c:v>75.400000000000006</c:v>
                </c:pt>
                <c:pt idx="4">
                  <c:v>76.900000000000006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4E-49AC-9E13-01BFC1C48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7125487"/>
        <c:axId val="687124527"/>
      </c:lineChart>
      <c:catAx>
        <c:axId val="687125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 b="0" i="0" baseline="0">
                    <a:effectLst/>
                  </a:rPr>
                  <a:t>Iteration</a:t>
                </a:r>
                <a:endParaRPr lang="en-GB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124527"/>
        <c:crosses val="autoZero"/>
        <c:auto val="1"/>
        <c:lblAlgn val="ctr"/>
        <c:lblOffset val="100"/>
        <c:noMultiLvlLbl val="0"/>
      </c:catAx>
      <c:valAx>
        <c:axId val="68712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Temperature(°C)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125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Write/s)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Sheet1!$G$68</c:f>
              <c:strCache>
                <c:ptCount val="1"/>
                <c:pt idx="0">
                  <c:v>Speed (MB/s)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Sheet1!$E$69:$E$73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Sheet1!$G$69:$G$73</c:f>
              <c:numCache>
                <c:formatCode>General</c:formatCode>
                <c:ptCount val="5"/>
                <c:pt idx="0">
                  <c:v>973</c:v>
                </c:pt>
                <c:pt idx="1">
                  <c:v>1000</c:v>
                </c:pt>
                <c:pt idx="2">
                  <c:v>1100</c:v>
                </c:pt>
                <c:pt idx="3">
                  <c:v>1000</c:v>
                </c:pt>
                <c:pt idx="4">
                  <c:v>959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8E-49AC-8492-A379411EA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182383"/>
        <c:axId val="905183343"/>
      </c:scatterChart>
      <c:valAx>
        <c:axId val="905182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 b="0" i="0" baseline="0">
                    <a:effectLst/>
                  </a:rPr>
                  <a:t>Iteration</a:t>
                </a:r>
                <a:endParaRPr lang="en-GB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183343"/>
        <c:crosses val="autoZero"/>
        <c:crossBetween val="midCat"/>
      </c:valAx>
      <c:valAx>
        <c:axId val="90518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</a:t>
                </a:r>
                <a:r>
                  <a:rPr lang="en-US" baseline="0"/>
                  <a:t> (MB/s)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182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Read Times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Sheet1!$F$46:$F$47</c:f>
              <c:strCache>
                <c:ptCount val="2"/>
                <c:pt idx="0">
                  <c:v>Read</c:v>
                </c:pt>
                <c:pt idx="1">
                  <c:v>Time (s)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Sheet1!$E$48:$E$52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Sheet1!$F$48:$F$52</c:f>
              <c:numCache>
                <c:formatCode>General</c:formatCode>
                <c:ptCount val="5"/>
                <c:pt idx="0">
                  <c:v>4.9316500000000003</c:v>
                </c:pt>
                <c:pt idx="1">
                  <c:v>11.0753</c:v>
                </c:pt>
                <c:pt idx="2">
                  <c:v>7.1109999999999998</c:v>
                </c:pt>
                <c:pt idx="3">
                  <c:v>10.072699999999999</c:v>
                </c:pt>
                <c:pt idx="4">
                  <c:v>9.4509399999999992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4B-4602-B706-4B449659D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4749935"/>
        <c:axId val="954751375"/>
      </c:lineChart>
      <c:catAx>
        <c:axId val="954749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Iteration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751375"/>
        <c:crosses val="autoZero"/>
        <c:auto val="1"/>
        <c:lblAlgn val="ctr"/>
        <c:lblOffset val="100"/>
        <c:noMultiLvlLbl val="0"/>
      </c:catAx>
      <c:valAx>
        <c:axId val="95475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  <a:r>
                  <a:rPr lang="en-GB" baseline="0"/>
                  <a:t> (Seconds)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749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Write Times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Sheet1!$F$67:$F$68</c:f>
              <c:strCache>
                <c:ptCount val="2"/>
                <c:pt idx="0">
                  <c:v>Write</c:v>
                </c:pt>
                <c:pt idx="1">
                  <c:v>Time (s)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Sheet1!$E$69:$E$73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Sheet1!$F$69:$F$73</c:f>
              <c:numCache>
                <c:formatCode>General</c:formatCode>
                <c:ptCount val="5"/>
                <c:pt idx="0">
                  <c:v>0.13792299999999999</c:v>
                </c:pt>
                <c:pt idx="1">
                  <c:v>0.128608</c:v>
                </c:pt>
                <c:pt idx="2">
                  <c:v>0.11906799999999999</c:v>
                </c:pt>
                <c:pt idx="3">
                  <c:v>0.13052800000000001</c:v>
                </c:pt>
                <c:pt idx="4">
                  <c:v>0.13990900000000001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2E-4F39-949E-CF2721569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9845311"/>
        <c:axId val="759844831"/>
      </c:lineChart>
      <c:catAx>
        <c:axId val="759845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Iteration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844831"/>
        <c:crosses val="autoZero"/>
        <c:auto val="1"/>
        <c:lblAlgn val="ctr"/>
        <c:lblOffset val="100"/>
        <c:noMultiLvlLbl val="0"/>
      </c:catAx>
      <c:valAx>
        <c:axId val="75984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845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Read Times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Sheet1!$G$47</c:f>
              <c:strCache>
                <c:ptCount val="1"/>
                <c:pt idx="0">
                  <c:v>Speed (MB/s)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Sheet1!$E$48:$E$52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Sheet1!$G$48:$G$52</c:f>
              <c:numCache>
                <c:formatCode>General</c:formatCode>
                <c:ptCount val="5"/>
                <c:pt idx="0">
                  <c:v>27.2</c:v>
                </c:pt>
                <c:pt idx="1">
                  <c:v>12.1</c:v>
                </c:pt>
                <c:pt idx="2">
                  <c:v>18.899999999999999</c:v>
                </c:pt>
                <c:pt idx="3">
                  <c:v>13.3</c:v>
                </c:pt>
                <c:pt idx="4">
                  <c:v>14.2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7C-42B0-82D3-1A21AABC1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7796703"/>
        <c:axId val="887796223"/>
      </c:scatterChart>
      <c:valAx>
        <c:axId val="887796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 b="0" i="0" baseline="0">
                    <a:effectLst/>
                  </a:rPr>
                  <a:t>Iteration</a:t>
                </a:r>
                <a:endParaRPr lang="en-GB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796223"/>
        <c:crosses val="autoZero"/>
        <c:crossBetween val="midCat"/>
      </c:valAx>
      <c:valAx>
        <c:axId val="88779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Speed (MB/s)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796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Sheet1!$E$141</c:f>
              <c:strCache>
                <c:ptCount val="1"/>
                <c:pt idx="0">
                  <c:v>Load 1min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Sheet1!$D$142:$D$146</c:f>
              <c:strCache>
                <c:ptCount val="5"/>
                <c:pt idx="0">
                  <c:v>LuantiServer</c:v>
                </c:pt>
                <c:pt idx="1">
                  <c:v>SQLite</c:v>
                </c:pt>
                <c:pt idx="2">
                  <c:v>iperf3</c:v>
                </c:pt>
                <c:pt idx="3">
                  <c:v>Ffmpeg</c:v>
                </c:pt>
                <c:pt idx="4">
                  <c:v>Memcached</c:v>
                </c:pt>
              </c:strCache>
            </c:strRef>
          </c:cat>
          <c:val>
            <c:numRef>
              <c:f>Sheet1!$E$142:$E$146</c:f>
              <c:numCache>
                <c:formatCode>General</c:formatCode>
                <c:ptCount val="5"/>
                <c:pt idx="0">
                  <c:v>0.30599999999999999</c:v>
                </c:pt>
                <c:pt idx="1">
                  <c:v>0.81600000000000006</c:v>
                </c:pt>
                <c:pt idx="2">
                  <c:v>1.8780000000000001</c:v>
                </c:pt>
                <c:pt idx="3">
                  <c:v>4.7839999999999998</c:v>
                </c:pt>
                <c:pt idx="4">
                  <c:v>10.234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0C-48FC-B016-AB6B76206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7418255"/>
        <c:axId val="1447419695"/>
      </c:barChart>
      <c:catAx>
        <c:axId val="1447418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419695"/>
        <c:crosses val="autoZero"/>
        <c:auto val="1"/>
        <c:lblAlgn val="ctr"/>
        <c:lblOffset val="100"/>
        <c:noMultiLvlLbl val="0"/>
      </c:catAx>
      <c:valAx>
        <c:axId val="1447419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418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Sheet1!$F$141</c:f>
              <c:strCache>
                <c:ptCount val="1"/>
                <c:pt idx="0">
                  <c:v>Load 5min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Sheet1!$D$142:$D$146</c:f>
              <c:strCache>
                <c:ptCount val="5"/>
                <c:pt idx="0">
                  <c:v>LuantiServer</c:v>
                </c:pt>
                <c:pt idx="1">
                  <c:v>SQLite</c:v>
                </c:pt>
                <c:pt idx="2">
                  <c:v>iperf3</c:v>
                </c:pt>
                <c:pt idx="3">
                  <c:v>Ffmpeg</c:v>
                </c:pt>
                <c:pt idx="4">
                  <c:v>Memcached</c:v>
                </c:pt>
              </c:strCache>
            </c:strRef>
          </c:cat>
          <c:val>
            <c:numRef>
              <c:f>Sheet1!$F$142:$F$146</c:f>
              <c:numCache>
                <c:formatCode>General</c:formatCode>
                <c:ptCount val="5"/>
                <c:pt idx="0">
                  <c:v>0.20600000000000002</c:v>
                </c:pt>
                <c:pt idx="1">
                  <c:v>0.47599999999999998</c:v>
                </c:pt>
                <c:pt idx="2">
                  <c:v>1.1659999999999999</c:v>
                </c:pt>
                <c:pt idx="3">
                  <c:v>3.4660000000000002</c:v>
                </c:pt>
                <c:pt idx="4">
                  <c:v>5.6519999999999992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49-4DF9-877C-3CA41A7E5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1065247"/>
        <c:axId val="961065727"/>
      </c:barChart>
      <c:catAx>
        <c:axId val="961065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065727"/>
        <c:crosses val="autoZero"/>
        <c:auto val="1"/>
        <c:lblAlgn val="ctr"/>
        <c:lblOffset val="100"/>
        <c:noMultiLvlLbl val="0"/>
      </c:catAx>
      <c:valAx>
        <c:axId val="96106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065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Sheet1!$G$141</c:f>
              <c:strCache>
                <c:ptCount val="1"/>
                <c:pt idx="0">
                  <c:v>Load 15min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Sheet1!$D$142:$D$146</c:f>
              <c:strCache>
                <c:ptCount val="5"/>
                <c:pt idx="0">
                  <c:v>LuantiServer</c:v>
                </c:pt>
                <c:pt idx="1">
                  <c:v>SQLite</c:v>
                </c:pt>
                <c:pt idx="2">
                  <c:v>iperf3</c:v>
                </c:pt>
                <c:pt idx="3">
                  <c:v>Ffmpeg</c:v>
                </c:pt>
                <c:pt idx="4">
                  <c:v>Memcached</c:v>
                </c:pt>
              </c:strCache>
            </c:strRef>
          </c:cat>
          <c:val>
            <c:numRef>
              <c:f>Sheet1!$G$142:$G$146</c:f>
              <c:numCache>
                <c:formatCode>General</c:formatCode>
                <c:ptCount val="5"/>
                <c:pt idx="0">
                  <c:v>0.20600000000000002</c:v>
                </c:pt>
                <c:pt idx="1">
                  <c:v>0.73799999999999999</c:v>
                </c:pt>
                <c:pt idx="2">
                  <c:v>0.9</c:v>
                </c:pt>
                <c:pt idx="3">
                  <c:v>1.716</c:v>
                </c:pt>
                <c:pt idx="4">
                  <c:v>2.444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27-4549-8F95-7E2F451FC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2742703"/>
        <c:axId val="1512740783"/>
      </c:barChart>
      <c:catAx>
        <c:axId val="1512742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740783"/>
        <c:crosses val="autoZero"/>
        <c:auto val="1"/>
        <c:lblAlgn val="ctr"/>
        <c:lblOffset val="100"/>
        <c:noMultiLvlLbl val="0"/>
      </c:catAx>
      <c:valAx>
        <c:axId val="1512740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742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Sheet1!$H$141</c:f>
              <c:strCache>
                <c:ptCount val="1"/>
                <c:pt idx="0">
                  <c:v>CPU Idle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Sheet1!$D$142:$D$146</c:f>
              <c:strCache>
                <c:ptCount val="5"/>
                <c:pt idx="0">
                  <c:v>LuantiServer</c:v>
                </c:pt>
                <c:pt idx="1">
                  <c:v>SQLite</c:v>
                </c:pt>
                <c:pt idx="2">
                  <c:v>iperf3</c:v>
                </c:pt>
                <c:pt idx="3">
                  <c:v>Ffmpeg</c:v>
                </c:pt>
                <c:pt idx="4">
                  <c:v>Memcached</c:v>
                </c:pt>
              </c:strCache>
            </c:strRef>
          </c:cat>
          <c:val>
            <c:numRef>
              <c:f>Sheet1!$H$142:$H$146</c:f>
              <c:numCache>
                <c:formatCode>General</c:formatCode>
                <c:ptCount val="5"/>
                <c:pt idx="0">
                  <c:v>97.5</c:v>
                </c:pt>
                <c:pt idx="1">
                  <c:v>83.08</c:v>
                </c:pt>
                <c:pt idx="2">
                  <c:v>46.980000000000004</c:v>
                </c:pt>
                <c:pt idx="3">
                  <c:v>31.920000000000005</c:v>
                </c:pt>
                <c:pt idx="4">
                  <c:v>35.739999999999995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31-471C-BC0D-4208B0071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7419215"/>
        <c:axId val="1447423055"/>
      </c:barChart>
      <c:catAx>
        <c:axId val="144741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423055"/>
        <c:crosses val="autoZero"/>
        <c:auto val="1"/>
        <c:lblAlgn val="ctr"/>
        <c:lblOffset val="100"/>
        <c:noMultiLvlLbl val="0"/>
      </c:catAx>
      <c:valAx>
        <c:axId val="14474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419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Sheet1!$I$141</c:f>
              <c:strCache>
                <c:ptCount val="1"/>
                <c:pt idx="0">
                  <c:v>Mem Used (MiB)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D7-446E-9CBA-17BA606E72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D7-446E-9CBA-17BA606E72C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2D7-446E-9CBA-17BA606E72C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2D7-446E-9CBA-17BA606E72C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2D7-446E-9CBA-17BA606E72CF}"/>
              </c:ext>
            </c:extLst>
          </c:dPt>
          <c:cat>
            <c:strRef>
              <c:f>Sheet1!$D$142:$D$146</c:f>
              <c:strCache>
                <c:ptCount val="5"/>
                <c:pt idx="0">
                  <c:v>LuantiServer</c:v>
                </c:pt>
                <c:pt idx="1">
                  <c:v>SQLite</c:v>
                </c:pt>
                <c:pt idx="2">
                  <c:v>iperf3</c:v>
                </c:pt>
                <c:pt idx="3">
                  <c:v>Ffmpeg</c:v>
                </c:pt>
                <c:pt idx="4">
                  <c:v>Memcached</c:v>
                </c:pt>
              </c:strCache>
            </c:strRef>
          </c:cat>
          <c:val>
            <c:numRef>
              <c:f>Sheet1!$I$142:$I$146</c:f>
              <c:numCache>
                <c:formatCode>General</c:formatCode>
                <c:ptCount val="5"/>
                <c:pt idx="0">
                  <c:v>322.35999999999996</c:v>
                </c:pt>
                <c:pt idx="1">
                  <c:v>337.21999999999997</c:v>
                </c:pt>
                <c:pt idx="2">
                  <c:v>319.29999999999995</c:v>
                </c:pt>
                <c:pt idx="3">
                  <c:v>539.72</c:v>
                </c:pt>
                <c:pt idx="4">
                  <c:v>1365.1399999999999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5A-4395-B7F9-3AD6D86A3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Sheet1!$K$141</c:f>
              <c:strCache>
                <c:ptCount val="1"/>
                <c:pt idx="0">
                  <c:v>Disk Write MB/s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Sheet1!$D$142:$D$146</c:f>
              <c:strCache>
                <c:ptCount val="5"/>
                <c:pt idx="0">
                  <c:v>LuantiServer</c:v>
                </c:pt>
                <c:pt idx="1">
                  <c:v>SQLite</c:v>
                </c:pt>
                <c:pt idx="2">
                  <c:v>iperf3</c:v>
                </c:pt>
                <c:pt idx="3">
                  <c:v>Ffmpeg</c:v>
                </c:pt>
                <c:pt idx="4">
                  <c:v>Memcached</c:v>
                </c:pt>
              </c:strCache>
            </c:strRef>
          </c:cat>
          <c:val>
            <c:numRef>
              <c:f>Sheet1!$K$142:$K$146</c:f>
              <c:numCache>
                <c:formatCode>General</c:formatCode>
                <c:ptCount val="5"/>
                <c:pt idx="0">
                  <c:v>15.259999999999996</c:v>
                </c:pt>
                <c:pt idx="1">
                  <c:v>17.619999999999997</c:v>
                </c:pt>
                <c:pt idx="2">
                  <c:v>17.78</c:v>
                </c:pt>
                <c:pt idx="3">
                  <c:v>17.14</c:v>
                </c:pt>
                <c:pt idx="4">
                  <c:v>13.14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B5-4F01-83CA-3BFAED1A1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3366287"/>
        <c:axId val="1313366767"/>
      </c:barChart>
      <c:catAx>
        <c:axId val="1313366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366767"/>
        <c:crosses val="autoZero"/>
        <c:auto val="1"/>
        <c:lblAlgn val="ctr"/>
        <c:lblOffset val="100"/>
        <c:noMultiLvlLbl val="0"/>
      </c:catAx>
      <c:valAx>
        <c:axId val="1313366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366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Sheet1!$L$141</c:f>
              <c:strCache>
                <c:ptCount val="1"/>
                <c:pt idx="0">
                  <c:v>Disk Read GB/s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Sheet1!$D$142:$D$146</c:f>
              <c:strCache>
                <c:ptCount val="5"/>
                <c:pt idx="0">
                  <c:v>LuantiServer</c:v>
                </c:pt>
                <c:pt idx="1">
                  <c:v>SQLite</c:v>
                </c:pt>
                <c:pt idx="2">
                  <c:v>iperf3</c:v>
                </c:pt>
                <c:pt idx="3">
                  <c:v>Ffmpeg</c:v>
                </c:pt>
                <c:pt idx="4">
                  <c:v>Memcached</c:v>
                </c:pt>
              </c:strCache>
            </c:strRef>
          </c:cat>
          <c:val>
            <c:numRef>
              <c:f>Sheet1!$L$142:$L$146</c:f>
              <c:numCache>
                <c:formatCode>General</c:formatCode>
                <c:ptCount val="5"/>
                <c:pt idx="0">
                  <c:v>1.1800000000000002</c:v>
                </c:pt>
                <c:pt idx="1">
                  <c:v>1.2</c:v>
                </c:pt>
                <c:pt idx="2">
                  <c:v>0.80619999999999992</c:v>
                </c:pt>
                <c:pt idx="3">
                  <c:v>1.0064</c:v>
                </c:pt>
                <c:pt idx="4">
                  <c:v>0.83420000000000005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0-45B4-BD20-11466DCD3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0844975"/>
        <c:axId val="1510843055"/>
      </c:barChart>
      <c:catAx>
        <c:axId val="1510844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843055"/>
        <c:crosses val="autoZero"/>
        <c:auto val="1"/>
        <c:lblAlgn val="ctr"/>
        <c:lblOffset val="100"/>
        <c:noMultiLvlLbl val="0"/>
      </c:catAx>
      <c:valAx>
        <c:axId val="151084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844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Sheet1!$M$141</c:f>
              <c:strCache>
                <c:ptCount val="1"/>
                <c:pt idx="0">
                  <c:v>Temp (°C)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Sheet1!$D$142:$D$146</c:f>
              <c:strCache>
                <c:ptCount val="5"/>
                <c:pt idx="0">
                  <c:v>LuantiServer</c:v>
                </c:pt>
                <c:pt idx="1">
                  <c:v>SQLite</c:v>
                </c:pt>
                <c:pt idx="2">
                  <c:v>iperf3</c:v>
                </c:pt>
                <c:pt idx="3">
                  <c:v>Ffmpeg</c:v>
                </c:pt>
                <c:pt idx="4">
                  <c:v>Memcached</c:v>
                </c:pt>
              </c:strCache>
            </c:strRef>
          </c:cat>
          <c:val>
            <c:numRef>
              <c:f>Sheet1!$M$142:$M$146</c:f>
              <c:numCache>
                <c:formatCode>General</c:formatCode>
                <c:ptCount val="5"/>
                <c:pt idx="0">
                  <c:v>46.4</c:v>
                </c:pt>
                <c:pt idx="1">
                  <c:v>42.42</c:v>
                </c:pt>
                <c:pt idx="2">
                  <c:v>60.44</c:v>
                </c:pt>
                <c:pt idx="3">
                  <c:v>69.58</c:v>
                </c:pt>
                <c:pt idx="4">
                  <c:v>62.679999999999993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3F-4470-B5CC-A065F023D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1075295"/>
        <c:axId val="1501077215"/>
      </c:barChart>
      <c:catAx>
        <c:axId val="1501075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077215"/>
        <c:crosses val="autoZero"/>
        <c:auto val="1"/>
        <c:lblAlgn val="ctr"/>
        <c:lblOffset val="100"/>
        <c:noMultiLvlLbl val="0"/>
      </c:catAx>
      <c:valAx>
        <c:axId val="150107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075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4483</xdr:colOff>
      <xdr:row>0</xdr:row>
      <xdr:rowOff>11205</xdr:rowOff>
    </xdr:from>
    <xdr:to>
      <xdr:col>11</xdr:col>
      <xdr:colOff>42583</xdr:colOff>
      <xdr:row>11</xdr:row>
      <xdr:rowOff>120742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CB945B-DB46-6C1E-5E2D-41D7AADBD9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411997</xdr:colOff>
      <xdr:row>27</xdr:row>
      <xdr:rowOff>166298</xdr:rowOff>
    </xdr:from>
    <xdr:to>
      <xdr:col>16</xdr:col>
      <xdr:colOff>149240</xdr:colOff>
      <xdr:row>42</xdr:row>
      <xdr:rowOff>51998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44498B-0AA1-00EA-F9A8-E4B3DB2167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296263</xdr:colOff>
      <xdr:row>2</xdr:row>
      <xdr:rowOff>47255</xdr:rowOff>
    </xdr:from>
    <xdr:to>
      <xdr:col>27</xdr:col>
      <xdr:colOff>582013</xdr:colOff>
      <xdr:row>16</xdr:row>
      <xdr:rowOff>123455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21591D-127F-E4C7-F13D-487382A8B8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397698</xdr:colOff>
      <xdr:row>12</xdr:row>
      <xdr:rowOff>161058</xdr:rowOff>
    </xdr:from>
    <xdr:to>
      <xdr:col>16</xdr:col>
      <xdr:colOff>77312</xdr:colOff>
      <xdr:row>27</xdr:row>
      <xdr:rowOff>46758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6D67801-ADE4-43CE-06A5-0CE773048A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612320</xdr:colOff>
      <xdr:row>65</xdr:row>
      <xdr:rowOff>36738</xdr:rowOff>
    </xdr:from>
    <xdr:to>
      <xdr:col>24</xdr:col>
      <xdr:colOff>278945</xdr:colOff>
      <xdr:row>79</xdr:row>
      <xdr:rowOff>112938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306D41C-B1ED-E206-3119-5FFBB82AA6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463261</xdr:colOff>
      <xdr:row>43</xdr:row>
      <xdr:rowOff>12616</xdr:rowOff>
    </xdr:from>
    <xdr:to>
      <xdr:col>16</xdr:col>
      <xdr:colOff>142875</xdr:colOff>
      <xdr:row>57</xdr:row>
      <xdr:rowOff>88816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F0A0FDA-29C4-826A-9D81-C2CC3B83C9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353785</xdr:colOff>
      <xdr:row>65</xdr:row>
      <xdr:rowOff>57149</xdr:rowOff>
    </xdr:from>
    <xdr:to>
      <xdr:col>16</xdr:col>
      <xdr:colOff>20410</xdr:colOff>
      <xdr:row>79</xdr:row>
      <xdr:rowOff>133349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FF2C3E8-A88F-3DAC-55F8-FEDC23A50A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25360</xdr:colOff>
      <xdr:row>43</xdr:row>
      <xdr:rowOff>5195</xdr:rowOff>
    </xdr:from>
    <xdr:to>
      <xdr:col>24</xdr:col>
      <xdr:colOff>311110</xdr:colOff>
      <xdr:row>57</xdr:row>
      <xdr:rowOff>81395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865550F-9F92-FA45-EF2A-CCA092632B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554183</xdr:colOff>
      <xdr:row>110</xdr:row>
      <xdr:rowOff>65809</xdr:rowOff>
    </xdr:from>
    <xdr:to>
      <xdr:col>23</xdr:col>
      <xdr:colOff>588819</xdr:colOff>
      <xdr:row>122</xdr:row>
      <xdr:rowOff>142009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ACC1C46-0246-48FA-016C-01802AC8AD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536864</xdr:colOff>
      <xdr:row>123</xdr:row>
      <xdr:rowOff>65809</xdr:rowOff>
    </xdr:from>
    <xdr:to>
      <xdr:col>23</xdr:col>
      <xdr:colOff>571500</xdr:colOff>
      <xdr:row>137</xdr:row>
      <xdr:rowOff>142009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AF49D1A-7AA2-D8B6-13FC-F9FFB17DF1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519545</xdr:colOff>
      <xdr:row>138</xdr:row>
      <xdr:rowOff>48490</xdr:rowOff>
    </xdr:from>
    <xdr:to>
      <xdr:col>23</xdr:col>
      <xdr:colOff>554181</xdr:colOff>
      <xdr:row>148</xdr:row>
      <xdr:rowOff>315190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1C6283C-9266-3111-45CF-C1A83F7379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519546</xdr:colOff>
      <xdr:row>148</xdr:row>
      <xdr:rowOff>516082</xdr:rowOff>
    </xdr:from>
    <xdr:to>
      <xdr:col>23</xdr:col>
      <xdr:colOff>554182</xdr:colOff>
      <xdr:row>163</xdr:row>
      <xdr:rowOff>20782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5DCF753-3B0A-01A9-F923-5C5BCDFC3C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16</xdr:col>
      <xdr:colOff>519546</xdr:colOff>
      <xdr:row>163</xdr:row>
      <xdr:rowOff>187036</xdr:rowOff>
    </xdr:from>
    <xdr:to>
      <xdr:col>23</xdr:col>
      <xdr:colOff>554182</xdr:colOff>
      <xdr:row>178</xdr:row>
      <xdr:rowOff>72736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71BB1C5-4CFA-1059-E0A0-47F7E3C40C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346363</xdr:colOff>
      <xdr:row>154</xdr:row>
      <xdr:rowOff>48490</xdr:rowOff>
    </xdr:from>
    <xdr:to>
      <xdr:col>15</xdr:col>
      <xdr:colOff>329045</xdr:colOff>
      <xdr:row>168</xdr:row>
      <xdr:rowOff>124690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70E37BCC-14E1-2253-416F-A5D8A3611B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</xdr:col>
      <xdr:colOff>311727</xdr:colOff>
      <xdr:row>169</xdr:row>
      <xdr:rowOff>83127</xdr:rowOff>
    </xdr:from>
    <xdr:to>
      <xdr:col>15</xdr:col>
      <xdr:colOff>294409</xdr:colOff>
      <xdr:row>183</xdr:row>
      <xdr:rowOff>159327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DB7C374D-E14E-050F-EBFC-59EE674AC2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16</xdr:col>
      <xdr:colOff>467591</xdr:colOff>
      <xdr:row>180</xdr:row>
      <xdr:rowOff>48491</xdr:rowOff>
    </xdr:from>
    <xdr:to>
      <xdr:col>23</xdr:col>
      <xdr:colOff>502227</xdr:colOff>
      <xdr:row>194</xdr:row>
      <xdr:rowOff>124691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529D4BBE-6322-A161-35F9-DD7E11C27B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5FEE3-6AD0-4DD3-B301-749D5D8E2F09}">
  <dimension ref="A4:W149"/>
  <sheetViews>
    <sheetView tabSelected="1" topLeftCell="A108" zoomScaleNormal="100" workbookViewId="0">
      <selection activeCell="I121" sqref="I121"/>
    </sheetView>
  </sheetViews>
  <sheetFormatPr defaultRowHeight="15" x14ac:dyDescent="0.25"/>
  <cols>
    <col min="4" max="4" width="12.42578125" bestFit="1" customWidth="1"/>
    <col min="5" max="5" width="14" bestFit="1" customWidth="1"/>
    <col min="6" max="6" width="10.140625" bestFit="1" customWidth="1"/>
    <col min="7" max="7" width="12.5703125" bestFit="1" customWidth="1"/>
    <col min="8" max="8" width="6.7109375" bestFit="1" customWidth="1"/>
    <col min="9" max="9" width="8.85546875" bestFit="1" customWidth="1"/>
    <col min="10" max="10" width="7.28515625" bestFit="1" customWidth="1"/>
    <col min="11" max="11" width="5.85546875" bestFit="1" customWidth="1"/>
    <col min="12" max="12" width="6" bestFit="1" customWidth="1"/>
    <col min="13" max="14" width="6.140625" bestFit="1" customWidth="1"/>
    <col min="19" max="19" width="13.42578125" customWidth="1"/>
  </cols>
  <sheetData>
    <row r="4" spans="1:19" x14ac:dyDescent="0.25">
      <c r="A4" t="s">
        <v>0</v>
      </c>
      <c r="D4" t="s">
        <v>19</v>
      </c>
      <c r="R4" t="s">
        <v>1</v>
      </c>
    </row>
    <row r="5" spans="1:19" x14ac:dyDescent="0.25">
      <c r="O5" t="s">
        <v>19</v>
      </c>
      <c r="S5" t="s">
        <v>5</v>
      </c>
    </row>
    <row r="6" spans="1:19" x14ac:dyDescent="0.25">
      <c r="B6" t="s">
        <v>2</v>
      </c>
      <c r="C6" t="s">
        <v>3</v>
      </c>
      <c r="D6" t="s">
        <v>4</v>
      </c>
      <c r="R6">
        <v>1</v>
      </c>
      <c r="S6">
        <v>97.7</v>
      </c>
    </row>
    <row r="7" spans="1:19" x14ac:dyDescent="0.25">
      <c r="A7">
        <v>1</v>
      </c>
      <c r="B7">
        <v>1.18</v>
      </c>
      <c r="C7">
        <v>1.95</v>
      </c>
      <c r="D7">
        <v>0.96</v>
      </c>
      <c r="R7">
        <v>2</v>
      </c>
      <c r="S7">
        <v>6.8</v>
      </c>
    </row>
    <row r="8" spans="1:19" x14ac:dyDescent="0.25">
      <c r="A8">
        <v>2</v>
      </c>
      <c r="B8">
        <v>4.99</v>
      </c>
      <c r="C8">
        <v>3.01</v>
      </c>
      <c r="D8">
        <v>1.4</v>
      </c>
      <c r="R8">
        <v>3</v>
      </c>
      <c r="S8">
        <v>22.7</v>
      </c>
    </row>
    <row r="9" spans="1:19" x14ac:dyDescent="0.25">
      <c r="A9">
        <v>3</v>
      </c>
      <c r="B9">
        <v>5.55</v>
      </c>
      <c r="C9">
        <v>3.71</v>
      </c>
      <c r="D9">
        <v>1.78</v>
      </c>
      <c r="R9">
        <v>4</v>
      </c>
      <c r="S9">
        <v>19.600000000000001</v>
      </c>
    </row>
    <row r="10" spans="1:19" x14ac:dyDescent="0.25">
      <c r="A10">
        <v>4</v>
      </c>
      <c r="B10">
        <v>5.33</v>
      </c>
      <c r="C10">
        <v>3.95</v>
      </c>
      <c r="D10">
        <v>2.0099999999999998</v>
      </c>
      <c r="R10">
        <v>5</v>
      </c>
      <c r="S10">
        <v>12.8</v>
      </c>
    </row>
    <row r="11" spans="1:19" x14ac:dyDescent="0.25">
      <c r="A11">
        <v>5</v>
      </c>
      <c r="B11">
        <v>6.87</v>
      </c>
      <c r="C11">
        <v>4.71</v>
      </c>
      <c r="D11">
        <v>2.4300000000000002</v>
      </c>
    </row>
    <row r="15" spans="1:19" x14ac:dyDescent="0.25">
      <c r="E15" t="s">
        <v>8</v>
      </c>
      <c r="F15" t="s">
        <v>10</v>
      </c>
    </row>
    <row r="16" spans="1:19" x14ac:dyDescent="0.25">
      <c r="E16">
        <v>1</v>
      </c>
      <c r="F16">
        <v>59.4</v>
      </c>
    </row>
    <row r="17" spans="5:6" x14ac:dyDescent="0.25">
      <c r="E17">
        <v>2</v>
      </c>
      <c r="F17">
        <v>72</v>
      </c>
    </row>
    <row r="18" spans="5:6" x14ac:dyDescent="0.25">
      <c r="E18">
        <v>3</v>
      </c>
      <c r="F18">
        <v>64.2</v>
      </c>
    </row>
    <row r="19" spans="5:6" x14ac:dyDescent="0.25">
      <c r="E19">
        <v>4</v>
      </c>
      <c r="F19">
        <v>75.400000000000006</v>
      </c>
    </row>
    <row r="20" spans="5:6" x14ac:dyDescent="0.25">
      <c r="E20">
        <v>5</v>
      </c>
      <c r="F20">
        <v>76.900000000000006</v>
      </c>
    </row>
    <row r="32" spans="5:6" x14ac:dyDescent="0.25">
      <c r="E32" t="s">
        <v>9</v>
      </c>
    </row>
    <row r="33" spans="5:7" x14ac:dyDescent="0.25">
      <c r="F33" t="s">
        <v>6</v>
      </c>
      <c r="G33" t="s">
        <v>7</v>
      </c>
    </row>
    <row r="34" spans="5:7" x14ac:dyDescent="0.25">
      <c r="E34">
        <v>1</v>
      </c>
      <c r="F34">
        <v>308.89999999999998</v>
      </c>
      <c r="G34">
        <v>621.79999999999995</v>
      </c>
    </row>
    <row r="35" spans="5:7" x14ac:dyDescent="0.25">
      <c r="E35">
        <v>2</v>
      </c>
      <c r="F35">
        <v>597.70000000000005</v>
      </c>
      <c r="G35">
        <v>623.5</v>
      </c>
    </row>
    <row r="36" spans="5:7" x14ac:dyDescent="0.25">
      <c r="E36">
        <v>3</v>
      </c>
      <c r="F36">
        <v>594.1</v>
      </c>
      <c r="G36">
        <v>625.29999999999995</v>
      </c>
    </row>
    <row r="37" spans="5:7" x14ac:dyDescent="0.25">
      <c r="E37">
        <v>4</v>
      </c>
      <c r="F37">
        <v>602</v>
      </c>
      <c r="G37">
        <v>623</v>
      </c>
    </row>
    <row r="38" spans="5:7" x14ac:dyDescent="0.25">
      <c r="E38">
        <v>5</v>
      </c>
      <c r="F38">
        <v>595.9</v>
      </c>
      <c r="G38">
        <v>624.79999999999995</v>
      </c>
    </row>
    <row r="46" spans="5:7" x14ac:dyDescent="0.25">
      <c r="E46" t="s">
        <v>26</v>
      </c>
    </row>
    <row r="47" spans="5:7" x14ac:dyDescent="0.25">
      <c r="E47" t="s">
        <v>8</v>
      </c>
      <c r="F47" t="s">
        <v>24</v>
      </c>
      <c r="G47" t="s">
        <v>25</v>
      </c>
    </row>
    <row r="48" spans="5:7" x14ac:dyDescent="0.25">
      <c r="E48">
        <v>1</v>
      </c>
      <c r="F48">
        <v>4.9316500000000003</v>
      </c>
      <c r="G48">
        <v>27.2</v>
      </c>
    </row>
    <row r="49" spans="5:7" x14ac:dyDescent="0.25">
      <c r="E49">
        <v>2</v>
      </c>
      <c r="F49">
        <v>11.0753</v>
      </c>
      <c r="G49">
        <v>12.1</v>
      </c>
    </row>
    <row r="50" spans="5:7" x14ac:dyDescent="0.25">
      <c r="E50">
        <v>3</v>
      </c>
      <c r="F50">
        <v>7.1109999999999998</v>
      </c>
      <c r="G50">
        <v>18.899999999999999</v>
      </c>
    </row>
    <row r="51" spans="5:7" x14ac:dyDescent="0.25">
      <c r="E51">
        <v>4</v>
      </c>
      <c r="F51">
        <v>10.072699999999999</v>
      </c>
      <c r="G51">
        <v>13.3</v>
      </c>
    </row>
    <row r="52" spans="5:7" x14ac:dyDescent="0.25">
      <c r="E52">
        <v>5</v>
      </c>
      <c r="F52">
        <v>9.4509399999999992</v>
      </c>
      <c r="G52">
        <v>14.2</v>
      </c>
    </row>
    <row r="67" spans="5:7" x14ac:dyDescent="0.25">
      <c r="E67" t="s">
        <v>23</v>
      </c>
    </row>
    <row r="68" spans="5:7" x14ac:dyDescent="0.25">
      <c r="E68" t="s">
        <v>8</v>
      </c>
      <c r="F68" t="s">
        <v>24</v>
      </c>
      <c r="G68" t="s">
        <v>25</v>
      </c>
    </row>
    <row r="69" spans="5:7" x14ac:dyDescent="0.25">
      <c r="E69">
        <v>1</v>
      </c>
      <c r="F69">
        <v>0.13792299999999999</v>
      </c>
      <c r="G69">
        <v>973</v>
      </c>
    </row>
    <row r="70" spans="5:7" x14ac:dyDescent="0.25">
      <c r="E70">
        <v>2</v>
      </c>
      <c r="F70">
        <v>0.128608</v>
      </c>
      <c r="G70">
        <v>1000</v>
      </c>
    </row>
    <row r="71" spans="5:7" x14ac:dyDescent="0.25">
      <c r="E71">
        <v>3</v>
      </c>
      <c r="F71">
        <v>0.11906799999999999</v>
      </c>
      <c r="G71">
        <v>1100</v>
      </c>
    </row>
    <row r="72" spans="5:7" x14ac:dyDescent="0.25">
      <c r="E72">
        <v>4</v>
      </c>
      <c r="F72">
        <v>0.13052800000000001</v>
      </c>
      <c r="G72">
        <v>1000</v>
      </c>
    </row>
    <row r="73" spans="5:7" x14ac:dyDescent="0.25">
      <c r="E73">
        <v>5</v>
      </c>
      <c r="F73">
        <v>0.13990900000000001</v>
      </c>
      <c r="G73">
        <v>959</v>
      </c>
    </row>
    <row r="88" spans="1:10" x14ac:dyDescent="0.25">
      <c r="A88" t="s">
        <v>27</v>
      </c>
    </row>
    <row r="89" spans="1:10" ht="45" x14ac:dyDescent="0.25">
      <c r="A89" s="1" t="s">
        <v>8</v>
      </c>
      <c r="B89" s="1" t="s">
        <v>11</v>
      </c>
      <c r="C89" s="1" t="s">
        <v>12</v>
      </c>
      <c r="D89" s="1" t="s">
        <v>13</v>
      </c>
      <c r="E89" s="1" t="s">
        <v>14</v>
      </c>
      <c r="F89" s="1" t="s">
        <v>15</v>
      </c>
      <c r="G89" s="1" t="s">
        <v>16</v>
      </c>
      <c r="H89" s="1" t="s">
        <v>17</v>
      </c>
      <c r="I89" s="1" t="s">
        <v>18</v>
      </c>
      <c r="J89" s="1" t="s">
        <v>10</v>
      </c>
    </row>
    <row r="90" spans="1:10" x14ac:dyDescent="0.25">
      <c r="A90" s="2">
        <v>1</v>
      </c>
      <c r="B90" s="2">
        <v>1.18</v>
      </c>
      <c r="C90" s="2">
        <v>1.95</v>
      </c>
      <c r="D90" s="2">
        <v>0.96</v>
      </c>
      <c r="E90" s="2">
        <v>97.7</v>
      </c>
      <c r="F90" s="2">
        <v>308.89999999999998</v>
      </c>
      <c r="G90" s="2">
        <v>0</v>
      </c>
      <c r="H90" s="2">
        <v>27.2</v>
      </c>
      <c r="I90" s="2">
        <v>0.97299999999999998</v>
      </c>
      <c r="J90" s="2">
        <v>59.4</v>
      </c>
    </row>
    <row r="91" spans="1:10" x14ac:dyDescent="0.25">
      <c r="A91" s="2">
        <v>2</v>
      </c>
      <c r="B91" s="2">
        <v>4.99</v>
      </c>
      <c r="C91" s="2">
        <v>3.01</v>
      </c>
      <c r="D91" s="2">
        <v>1.4</v>
      </c>
      <c r="E91" s="2">
        <v>6.8</v>
      </c>
      <c r="F91" s="2">
        <v>597.70000000000005</v>
      </c>
      <c r="G91" s="2">
        <v>0</v>
      </c>
      <c r="H91" s="2">
        <v>12.1</v>
      </c>
      <c r="I91" s="2">
        <v>1</v>
      </c>
      <c r="J91" s="2">
        <v>72</v>
      </c>
    </row>
    <row r="92" spans="1:10" x14ac:dyDescent="0.25">
      <c r="A92" s="2">
        <v>3</v>
      </c>
      <c r="B92" s="2">
        <v>5.55</v>
      </c>
      <c r="C92" s="2">
        <v>3.71</v>
      </c>
      <c r="D92" s="2">
        <v>1.78</v>
      </c>
      <c r="E92" s="2">
        <v>22.7</v>
      </c>
      <c r="F92" s="2">
        <v>594.1</v>
      </c>
      <c r="G92" s="2">
        <v>0</v>
      </c>
      <c r="H92" s="2">
        <v>18.899999999999999</v>
      </c>
      <c r="I92" s="2">
        <v>1.1000000000000001</v>
      </c>
      <c r="J92" s="2">
        <v>64.2</v>
      </c>
    </row>
    <row r="93" spans="1:10" x14ac:dyDescent="0.25">
      <c r="A93" s="2">
        <v>4</v>
      </c>
      <c r="B93" s="2">
        <v>5.33</v>
      </c>
      <c r="C93" s="2">
        <v>3.95</v>
      </c>
      <c r="D93" s="2">
        <v>2.0099999999999998</v>
      </c>
      <c r="E93" s="2">
        <v>19.600000000000001</v>
      </c>
      <c r="F93" s="2">
        <v>602</v>
      </c>
      <c r="G93" s="2">
        <v>0</v>
      </c>
      <c r="H93" s="2">
        <v>13.3</v>
      </c>
      <c r="I93" s="2">
        <v>1</v>
      </c>
      <c r="J93" s="2">
        <v>75.400000000000006</v>
      </c>
    </row>
    <row r="94" spans="1:10" x14ac:dyDescent="0.25">
      <c r="A94" s="2">
        <v>5</v>
      </c>
      <c r="B94" s="2">
        <v>6.87</v>
      </c>
      <c r="C94" s="2">
        <v>4.71</v>
      </c>
      <c r="D94" s="2">
        <v>2.4300000000000002</v>
      </c>
      <c r="E94" s="2">
        <v>12.8</v>
      </c>
      <c r="F94" s="2">
        <v>595.9</v>
      </c>
      <c r="G94" s="2">
        <v>0</v>
      </c>
      <c r="H94" s="2">
        <v>14.2</v>
      </c>
      <c r="I94" s="2">
        <v>0.95899999999999996</v>
      </c>
      <c r="J94" s="2">
        <v>76.900000000000006</v>
      </c>
    </row>
    <row r="113" spans="4:23" ht="45" x14ac:dyDescent="0.25">
      <c r="D113" s="3" t="s">
        <v>29</v>
      </c>
      <c r="E113" s="1" t="s">
        <v>8</v>
      </c>
      <c r="F113" s="1" t="s">
        <v>11</v>
      </c>
      <c r="G113" s="1" t="s">
        <v>12</v>
      </c>
      <c r="H113" s="1" t="s">
        <v>13</v>
      </c>
      <c r="I113" s="1" t="s">
        <v>14</v>
      </c>
      <c r="J113" s="1" t="s">
        <v>15</v>
      </c>
      <c r="K113" s="1" t="s">
        <v>16</v>
      </c>
      <c r="L113" s="1" t="s">
        <v>17</v>
      </c>
      <c r="M113" s="1" t="s">
        <v>18</v>
      </c>
      <c r="N113" s="1" t="s">
        <v>10</v>
      </c>
      <c r="S113" s="3"/>
      <c r="T113" s="3"/>
      <c r="U113" s="3"/>
      <c r="V113" s="3"/>
      <c r="W113" s="3"/>
    </row>
    <row r="114" spans="4:23" x14ac:dyDescent="0.25">
      <c r="D114" s="3" t="s">
        <v>28</v>
      </c>
      <c r="E114" s="2">
        <v>1</v>
      </c>
      <c r="F114" s="2">
        <v>0.17</v>
      </c>
      <c r="G114" s="2">
        <v>0.06</v>
      </c>
      <c r="H114" s="2">
        <v>0.16</v>
      </c>
      <c r="I114" s="2">
        <v>95.6</v>
      </c>
      <c r="J114" s="2">
        <v>329.2</v>
      </c>
      <c r="K114" s="2">
        <v>0</v>
      </c>
      <c r="L114" s="2">
        <v>16.3</v>
      </c>
      <c r="M114" s="2">
        <v>1.4</v>
      </c>
      <c r="N114" s="2">
        <v>46.7</v>
      </c>
      <c r="R114" s="1"/>
    </row>
    <row r="115" spans="4:23" x14ac:dyDescent="0.25">
      <c r="D115" s="3" t="s">
        <v>28</v>
      </c>
      <c r="E115" s="2">
        <v>2</v>
      </c>
      <c r="F115" s="2">
        <v>0.3</v>
      </c>
      <c r="G115" s="2">
        <v>0.14000000000000001</v>
      </c>
      <c r="H115" s="2">
        <v>0.18</v>
      </c>
      <c r="I115" s="2">
        <v>94</v>
      </c>
      <c r="J115" s="2">
        <v>317.60000000000002</v>
      </c>
      <c r="K115" s="2">
        <v>0</v>
      </c>
      <c r="L115" s="2">
        <v>15.7</v>
      </c>
      <c r="M115" s="2">
        <v>1</v>
      </c>
      <c r="N115" s="2">
        <v>46.2</v>
      </c>
      <c r="R115" s="1"/>
    </row>
    <row r="116" spans="4:23" x14ac:dyDescent="0.25">
      <c r="D116" s="3" t="s">
        <v>28</v>
      </c>
      <c r="E116" s="2">
        <v>3</v>
      </c>
      <c r="F116" s="2">
        <v>0.37</v>
      </c>
      <c r="G116" s="2">
        <v>0.21</v>
      </c>
      <c r="H116" s="2">
        <v>0.2</v>
      </c>
      <c r="I116" s="2">
        <v>100</v>
      </c>
      <c r="J116" s="2">
        <v>331.9</v>
      </c>
      <c r="K116" s="2">
        <v>0</v>
      </c>
      <c r="L116" s="2">
        <v>12.3</v>
      </c>
      <c r="M116" s="2">
        <v>1.3</v>
      </c>
      <c r="N116" s="2">
        <v>49.6</v>
      </c>
      <c r="R116" s="1"/>
    </row>
    <row r="117" spans="4:23" x14ac:dyDescent="0.25">
      <c r="D117" s="3" t="s">
        <v>28</v>
      </c>
      <c r="E117" s="2">
        <v>4</v>
      </c>
      <c r="F117" s="2">
        <v>0.42</v>
      </c>
      <c r="G117" s="2">
        <v>0.31</v>
      </c>
      <c r="H117" s="2">
        <v>0.24</v>
      </c>
      <c r="I117" s="2">
        <v>97.9</v>
      </c>
      <c r="J117" s="2">
        <v>315.7</v>
      </c>
      <c r="K117" s="2">
        <v>0</v>
      </c>
      <c r="L117" s="2">
        <v>19.899999999999999</v>
      </c>
      <c r="M117" s="2">
        <v>1.1000000000000001</v>
      </c>
      <c r="N117" s="2">
        <v>45.2</v>
      </c>
      <c r="R117" s="1"/>
    </row>
    <row r="118" spans="4:23" x14ac:dyDescent="0.25">
      <c r="D118" s="3" t="s">
        <v>28</v>
      </c>
      <c r="E118" s="2">
        <v>5</v>
      </c>
      <c r="F118" s="2">
        <v>0.27</v>
      </c>
      <c r="G118" s="2">
        <v>0.31</v>
      </c>
      <c r="H118" s="2">
        <v>0.25</v>
      </c>
      <c r="I118" s="2">
        <v>100</v>
      </c>
      <c r="J118" s="2">
        <v>317.39999999999998</v>
      </c>
      <c r="K118" s="2">
        <v>0</v>
      </c>
      <c r="L118" s="2">
        <v>12.1</v>
      </c>
      <c r="M118" s="2">
        <v>1.1000000000000001</v>
      </c>
      <c r="N118" s="2">
        <v>44.3</v>
      </c>
      <c r="R118" s="1"/>
    </row>
    <row r="119" spans="4:23" x14ac:dyDescent="0.25">
      <c r="D119" s="3" t="s">
        <v>21</v>
      </c>
      <c r="E119" s="2">
        <v>1</v>
      </c>
      <c r="F119" s="2">
        <v>0</v>
      </c>
      <c r="G119" s="2">
        <v>0.03</v>
      </c>
      <c r="H119" s="2">
        <v>0.64</v>
      </c>
      <c r="I119" s="2">
        <v>100</v>
      </c>
      <c r="J119" s="2">
        <v>318.89999999999998</v>
      </c>
      <c r="K119" s="2">
        <v>0</v>
      </c>
      <c r="L119" s="2">
        <v>35.5</v>
      </c>
      <c r="M119" s="2">
        <v>1.3</v>
      </c>
      <c r="N119" s="2">
        <v>40.9</v>
      </c>
      <c r="R119" s="1"/>
    </row>
    <row r="120" spans="4:23" x14ac:dyDescent="0.25">
      <c r="D120" s="3" t="s">
        <v>21</v>
      </c>
      <c r="E120" s="2">
        <v>2</v>
      </c>
      <c r="F120" s="2">
        <v>0.97</v>
      </c>
      <c r="G120" s="2">
        <v>0.32</v>
      </c>
      <c r="H120" s="2">
        <v>0.69</v>
      </c>
      <c r="I120" s="2">
        <v>73.3</v>
      </c>
      <c r="J120" s="2">
        <v>340.9</v>
      </c>
      <c r="K120" s="2">
        <v>0</v>
      </c>
      <c r="L120" s="2">
        <v>16.399999999999999</v>
      </c>
      <c r="M120" s="2">
        <v>1.3</v>
      </c>
      <c r="N120" s="2">
        <v>39.4</v>
      </c>
      <c r="R120" s="1"/>
    </row>
    <row r="121" spans="4:23" x14ac:dyDescent="0.25">
      <c r="D121" s="3" t="s">
        <v>21</v>
      </c>
      <c r="E121" s="2">
        <v>3</v>
      </c>
      <c r="F121" s="2">
        <v>1.17</v>
      </c>
      <c r="G121" s="2">
        <v>0.57999999999999996</v>
      </c>
      <c r="H121" s="2">
        <v>0.76</v>
      </c>
      <c r="I121" s="2">
        <v>72.7</v>
      </c>
      <c r="J121" s="2">
        <v>355.2</v>
      </c>
      <c r="K121" s="2">
        <v>0</v>
      </c>
      <c r="L121" s="2">
        <v>12.1</v>
      </c>
      <c r="M121" s="2">
        <v>1.3</v>
      </c>
      <c r="N121" s="2">
        <v>47.2</v>
      </c>
      <c r="R121" s="1"/>
    </row>
    <row r="122" spans="4:23" x14ac:dyDescent="0.25">
      <c r="D122" s="3" t="s">
        <v>21</v>
      </c>
      <c r="E122" s="2">
        <v>4</v>
      </c>
      <c r="F122" s="2">
        <v>0.74</v>
      </c>
      <c r="G122" s="2">
        <v>0.64</v>
      </c>
      <c r="H122" s="2">
        <v>0.77</v>
      </c>
      <c r="I122" s="2">
        <v>97.7</v>
      </c>
      <c r="J122" s="2">
        <v>324.60000000000002</v>
      </c>
      <c r="K122" s="2">
        <v>0</v>
      </c>
      <c r="L122" s="2">
        <v>12.1</v>
      </c>
      <c r="M122" s="2">
        <v>1</v>
      </c>
      <c r="N122" s="2">
        <v>41.3</v>
      </c>
      <c r="R122" s="1"/>
    </row>
    <row r="123" spans="4:23" x14ac:dyDescent="0.25">
      <c r="D123" s="3" t="s">
        <v>21</v>
      </c>
      <c r="E123" s="2">
        <v>5</v>
      </c>
      <c r="F123" s="2">
        <v>1.2</v>
      </c>
      <c r="G123" s="2">
        <v>0.81</v>
      </c>
      <c r="H123" s="2">
        <v>0.83</v>
      </c>
      <c r="I123" s="2">
        <v>71.7</v>
      </c>
      <c r="J123" s="2">
        <v>346.5</v>
      </c>
      <c r="K123" s="2">
        <v>0</v>
      </c>
      <c r="L123" s="2">
        <v>12</v>
      </c>
      <c r="M123" s="2">
        <v>1.1000000000000001</v>
      </c>
      <c r="N123" s="2">
        <v>43.3</v>
      </c>
    </row>
    <row r="124" spans="4:23" x14ac:dyDescent="0.25">
      <c r="D124" s="3" t="s">
        <v>22</v>
      </c>
      <c r="E124" s="2">
        <v>1</v>
      </c>
      <c r="F124" s="2">
        <v>1.31</v>
      </c>
      <c r="G124" s="2">
        <v>0.61</v>
      </c>
      <c r="H124" s="2">
        <v>0.68</v>
      </c>
      <c r="I124" s="2">
        <v>45.7</v>
      </c>
      <c r="J124" s="2">
        <v>318.3</v>
      </c>
      <c r="K124" s="2">
        <v>0</v>
      </c>
      <c r="L124" s="2">
        <v>16.3</v>
      </c>
      <c r="M124" s="2">
        <v>0.89500000000000002</v>
      </c>
      <c r="N124" s="2">
        <v>55.5</v>
      </c>
    </row>
    <row r="125" spans="4:23" x14ac:dyDescent="0.25">
      <c r="D125" s="3" t="s">
        <v>30</v>
      </c>
      <c r="E125" s="2">
        <v>2</v>
      </c>
      <c r="F125" s="2">
        <v>1.83</v>
      </c>
      <c r="G125" s="2">
        <v>0.94</v>
      </c>
      <c r="H125" s="2">
        <v>0.79</v>
      </c>
      <c r="I125" s="2">
        <v>46.8</v>
      </c>
      <c r="J125" s="2">
        <v>319.8</v>
      </c>
      <c r="K125" s="2">
        <v>0</v>
      </c>
      <c r="L125" s="2">
        <v>30</v>
      </c>
      <c r="M125" s="2">
        <v>0.68400000000000005</v>
      </c>
      <c r="N125" s="2">
        <v>60.3</v>
      </c>
    </row>
    <row r="126" spans="4:23" x14ac:dyDescent="0.25">
      <c r="D126" s="3" t="s">
        <v>31</v>
      </c>
      <c r="E126" s="2">
        <v>3</v>
      </c>
      <c r="F126" s="2">
        <v>2.0299999999999998</v>
      </c>
      <c r="G126" s="2">
        <v>1.2</v>
      </c>
      <c r="H126" s="2">
        <v>0.9</v>
      </c>
      <c r="I126" s="2">
        <v>48.9</v>
      </c>
      <c r="J126" s="2">
        <v>320.2</v>
      </c>
      <c r="K126" s="2">
        <v>0</v>
      </c>
      <c r="L126" s="2">
        <v>11.9</v>
      </c>
      <c r="M126" s="2">
        <v>0.879</v>
      </c>
      <c r="N126" s="2">
        <v>61.3</v>
      </c>
    </row>
    <row r="127" spans="4:23" x14ac:dyDescent="0.25">
      <c r="D127" s="3" t="s">
        <v>32</v>
      </c>
      <c r="E127" s="2">
        <v>4</v>
      </c>
      <c r="F127" s="2">
        <v>2.35</v>
      </c>
      <c r="G127" s="2">
        <v>1.53</v>
      </c>
      <c r="H127" s="2">
        <v>1.04</v>
      </c>
      <c r="I127" s="2">
        <v>44.7</v>
      </c>
      <c r="J127" s="2">
        <v>324.39999999999998</v>
      </c>
      <c r="K127" s="2">
        <v>0</v>
      </c>
      <c r="L127" s="2">
        <v>16.8</v>
      </c>
      <c r="M127" s="2">
        <v>0.89300000000000002</v>
      </c>
      <c r="N127" s="2">
        <v>63.3</v>
      </c>
    </row>
    <row r="128" spans="4:23" x14ac:dyDescent="0.25">
      <c r="D128" s="3" t="s">
        <v>33</v>
      </c>
      <c r="E128" s="2">
        <v>5</v>
      </c>
      <c r="F128" s="2">
        <v>1.87</v>
      </c>
      <c r="G128" s="2">
        <v>1.55</v>
      </c>
      <c r="H128" s="2">
        <v>1.0900000000000001</v>
      </c>
      <c r="I128" s="2">
        <v>48.8</v>
      </c>
      <c r="J128" s="2">
        <v>313.8</v>
      </c>
      <c r="K128" s="2">
        <v>0</v>
      </c>
      <c r="L128" s="2">
        <v>13.9</v>
      </c>
      <c r="M128" s="2">
        <v>0.68</v>
      </c>
      <c r="N128" s="2">
        <v>61.8</v>
      </c>
    </row>
    <row r="129" spans="4:14" x14ac:dyDescent="0.25">
      <c r="D129" s="3" t="s">
        <v>27</v>
      </c>
      <c r="E129" s="2">
        <v>1</v>
      </c>
      <c r="F129" s="2">
        <v>1.18</v>
      </c>
      <c r="G129" s="2">
        <v>1.95</v>
      </c>
      <c r="H129" s="2">
        <v>0.96</v>
      </c>
      <c r="I129" s="2">
        <v>97.7</v>
      </c>
      <c r="J129" s="2">
        <v>308.89999999999998</v>
      </c>
      <c r="K129" s="2">
        <v>0</v>
      </c>
      <c r="L129" s="2">
        <v>27.2</v>
      </c>
      <c r="M129" s="2">
        <v>0.97299999999999998</v>
      </c>
      <c r="N129" s="2">
        <v>59.4</v>
      </c>
    </row>
    <row r="130" spans="4:14" x14ac:dyDescent="0.25">
      <c r="D130" s="3" t="s">
        <v>27</v>
      </c>
      <c r="E130" s="2">
        <v>2</v>
      </c>
      <c r="F130" s="2">
        <v>4.99</v>
      </c>
      <c r="G130" s="2">
        <v>3.01</v>
      </c>
      <c r="H130" s="2">
        <v>1.4</v>
      </c>
      <c r="I130" s="2">
        <v>6.8</v>
      </c>
      <c r="J130" s="2">
        <v>597.70000000000005</v>
      </c>
      <c r="K130" s="2">
        <v>0</v>
      </c>
      <c r="L130" s="2">
        <v>12.1</v>
      </c>
      <c r="M130" s="2">
        <v>1</v>
      </c>
      <c r="N130" s="2">
        <v>72</v>
      </c>
    </row>
    <row r="131" spans="4:14" x14ac:dyDescent="0.25">
      <c r="D131" s="3" t="s">
        <v>27</v>
      </c>
      <c r="E131" s="2">
        <v>3</v>
      </c>
      <c r="F131" s="2">
        <v>5.55</v>
      </c>
      <c r="G131" s="2">
        <v>3.71</v>
      </c>
      <c r="H131" s="2">
        <v>1.78</v>
      </c>
      <c r="I131" s="2">
        <v>22.7</v>
      </c>
      <c r="J131" s="2">
        <v>594.1</v>
      </c>
      <c r="K131" s="2">
        <v>0</v>
      </c>
      <c r="L131" s="2">
        <v>18.899999999999999</v>
      </c>
      <c r="M131" s="2">
        <v>1.1000000000000001</v>
      </c>
      <c r="N131" s="2">
        <v>64.2</v>
      </c>
    </row>
    <row r="132" spans="4:14" x14ac:dyDescent="0.25">
      <c r="D132" s="3" t="s">
        <v>27</v>
      </c>
      <c r="E132" s="2">
        <v>4</v>
      </c>
      <c r="F132" s="2">
        <v>5.33</v>
      </c>
      <c r="G132" s="2">
        <v>3.95</v>
      </c>
      <c r="H132" s="2">
        <v>2.0099999999999998</v>
      </c>
      <c r="I132" s="2">
        <v>19.600000000000001</v>
      </c>
      <c r="J132" s="2">
        <v>602</v>
      </c>
      <c r="K132" s="2">
        <v>0</v>
      </c>
      <c r="L132" s="2">
        <v>13.3</v>
      </c>
      <c r="M132" s="2">
        <v>1</v>
      </c>
      <c r="N132" s="2">
        <v>75.400000000000006</v>
      </c>
    </row>
    <row r="133" spans="4:14" x14ac:dyDescent="0.25">
      <c r="D133" s="3" t="s">
        <v>27</v>
      </c>
      <c r="E133" s="2">
        <v>5</v>
      </c>
      <c r="F133" s="2">
        <v>6.87</v>
      </c>
      <c r="G133" s="2">
        <v>4.71</v>
      </c>
      <c r="H133" s="2">
        <v>2.4300000000000002</v>
      </c>
      <c r="I133" s="2">
        <v>12.8</v>
      </c>
      <c r="J133" s="2">
        <v>595.9</v>
      </c>
      <c r="K133" s="2">
        <v>0</v>
      </c>
      <c r="L133" s="2">
        <v>14.2</v>
      </c>
      <c r="M133" s="2">
        <v>0.95899999999999996</v>
      </c>
      <c r="N133" s="2">
        <v>76.900000000000006</v>
      </c>
    </row>
    <row r="134" spans="4:14" x14ac:dyDescent="0.25">
      <c r="D134" s="3" t="s">
        <v>20</v>
      </c>
      <c r="E134" s="2">
        <v>1</v>
      </c>
      <c r="F134" s="2">
        <v>1.24</v>
      </c>
      <c r="G134" s="2">
        <v>1.1000000000000001</v>
      </c>
      <c r="H134" s="2">
        <v>0.5</v>
      </c>
      <c r="I134" s="2">
        <v>100</v>
      </c>
      <c r="J134" s="2">
        <v>783.6</v>
      </c>
      <c r="K134" s="2">
        <v>0</v>
      </c>
      <c r="L134" s="2">
        <v>12.4</v>
      </c>
      <c r="M134" s="2">
        <v>0.89600000000000002</v>
      </c>
      <c r="N134" s="2">
        <v>52.5</v>
      </c>
    </row>
    <row r="135" spans="4:14" x14ac:dyDescent="0.25">
      <c r="D135" s="3" t="s">
        <v>20</v>
      </c>
      <c r="E135" s="2">
        <v>2</v>
      </c>
      <c r="F135" s="2">
        <v>11.98</v>
      </c>
      <c r="G135" s="2">
        <v>4.6500000000000004</v>
      </c>
      <c r="H135" s="2">
        <v>1.79</v>
      </c>
      <c r="I135" s="2">
        <v>0</v>
      </c>
      <c r="J135" s="2">
        <v>1232.4000000000001</v>
      </c>
      <c r="K135" s="2">
        <v>0</v>
      </c>
      <c r="L135" s="2">
        <v>11.8</v>
      </c>
      <c r="M135" s="2">
        <v>0.53500000000000003</v>
      </c>
      <c r="N135" s="2">
        <v>61.8</v>
      </c>
    </row>
    <row r="136" spans="4:14" x14ac:dyDescent="0.25">
      <c r="D136" s="3" t="s">
        <v>20</v>
      </c>
      <c r="E136" s="2">
        <v>3</v>
      </c>
      <c r="F136" s="2">
        <v>13.81</v>
      </c>
      <c r="G136" s="2">
        <v>6.47</v>
      </c>
      <c r="H136" s="2">
        <v>2.64</v>
      </c>
      <c r="I136" s="2">
        <v>10.4</v>
      </c>
      <c r="J136" s="2">
        <v>1571.7</v>
      </c>
      <c r="K136" s="2">
        <v>0</v>
      </c>
      <c r="L136" s="2">
        <v>12.1</v>
      </c>
      <c r="M136" s="2">
        <v>0.79600000000000004</v>
      </c>
      <c r="N136" s="2">
        <v>67.2</v>
      </c>
    </row>
    <row r="137" spans="4:14" x14ac:dyDescent="0.25">
      <c r="D137" s="3" t="s">
        <v>20</v>
      </c>
      <c r="E137" s="2">
        <v>4</v>
      </c>
      <c r="F137" s="2">
        <v>8.64</v>
      </c>
      <c r="G137" s="2">
        <v>6.77</v>
      </c>
      <c r="H137" s="2">
        <v>3.07</v>
      </c>
      <c r="I137" s="2">
        <v>0</v>
      </c>
      <c r="J137" s="2">
        <v>1632.2</v>
      </c>
      <c r="K137" s="2">
        <v>0</v>
      </c>
      <c r="L137" s="2">
        <v>16</v>
      </c>
      <c r="M137" s="2">
        <v>1.2</v>
      </c>
      <c r="N137" s="2">
        <v>64.7</v>
      </c>
    </row>
    <row r="138" spans="4:14" x14ac:dyDescent="0.25">
      <c r="D138" s="3" t="s">
        <v>20</v>
      </c>
      <c r="E138" s="2">
        <v>5</v>
      </c>
      <c r="F138" s="2">
        <v>15.5</v>
      </c>
      <c r="G138" s="2">
        <v>9.27</v>
      </c>
      <c r="H138" s="2">
        <v>4.22</v>
      </c>
      <c r="I138" s="2">
        <v>68.3</v>
      </c>
      <c r="J138" s="2">
        <v>1605.8</v>
      </c>
      <c r="K138" s="2">
        <v>0</v>
      </c>
      <c r="L138" s="2">
        <v>13.4</v>
      </c>
      <c r="M138" s="2">
        <v>0.74399999999999999</v>
      </c>
      <c r="N138" s="2">
        <v>67.2</v>
      </c>
    </row>
    <row r="141" spans="4:14" ht="60" x14ac:dyDescent="0.25">
      <c r="D141" s="3" t="s">
        <v>29</v>
      </c>
      <c r="E141" s="1" t="s">
        <v>11</v>
      </c>
      <c r="F141" s="1" t="s">
        <v>12</v>
      </c>
      <c r="G141" s="1" t="s">
        <v>13</v>
      </c>
      <c r="H141" s="1" t="s">
        <v>14</v>
      </c>
      <c r="I141" s="1" t="s">
        <v>15</v>
      </c>
      <c r="J141" s="1" t="s">
        <v>16</v>
      </c>
      <c r="K141" s="1" t="s">
        <v>17</v>
      </c>
      <c r="L141" s="1" t="s">
        <v>18</v>
      </c>
      <c r="M141" s="1" t="s">
        <v>10</v>
      </c>
    </row>
    <row r="142" spans="4:14" x14ac:dyDescent="0.25">
      <c r="D142" s="3" t="s">
        <v>28</v>
      </c>
      <c r="E142">
        <f>AVERAGE(F114:F118)</f>
        <v>0.30599999999999999</v>
      </c>
      <c r="F142">
        <f t="shared" ref="F142:M142" si="0">AVERAGE(G114:G118)</f>
        <v>0.20600000000000002</v>
      </c>
      <c r="G142">
        <f t="shared" si="0"/>
        <v>0.20600000000000002</v>
      </c>
      <c r="H142">
        <f t="shared" si="0"/>
        <v>97.5</v>
      </c>
      <c r="I142">
        <f t="shared" si="0"/>
        <v>322.35999999999996</v>
      </c>
      <c r="J142">
        <f t="shared" si="0"/>
        <v>0</v>
      </c>
      <c r="K142">
        <f t="shared" si="0"/>
        <v>15.259999999999996</v>
      </c>
      <c r="L142">
        <f t="shared" si="0"/>
        <v>1.1800000000000002</v>
      </c>
      <c r="M142">
        <f t="shared" si="0"/>
        <v>46.4</v>
      </c>
    </row>
    <row r="143" spans="4:14" x14ac:dyDescent="0.25">
      <c r="D143" s="3" t="s">
        <v>21</v>
      </c>
      <c r="E143">
        <f>AVERAGE(F119:F123)</f>
        <v>0.81600000000000006</v>
      </c>
      <c r="F143">
        <f t="shared" ref="F143:M143" si="1">AVERAGE(G119:G123)</f>
        <v>0.47599999999999998</v>
      </c>
      <c r="G143">
        <f t="shared" si="1"/>
        <v>0.73799999999999999</v>
      </c>
      <c r="H143">
        <f t="shared" si="1"/>
        <v>83.08</v>
      </c>
      <c r="I143">
        <f t="shared" si="1"/>
        <v>337.21999999999997</v>
      </c>
      <c r="J143">
        <f t="shared" si="1"/>
        <v>0</v>
      </c>
      <c r="K143">
        <f t="shared" si="1"/>
        <v>17.619999999999997</v>
      </c>
      <c r="L143">
        <f t="shared" si="1"/>
        <v>1.2</v>
      </c>
      <c r="M143">
        <f t="shared" si="1"/>
        <v>42.42</v>
      </c>
    </row>
    <row r="144" spans="4:14" x14ac:dyDescent="0.25">
      <c r="D144" s="3" t="s">
        <v>22</v>
      </c>
      <c r="E144">
        <f>AVERAGE(F124:F128)</f>
        <v>1.8780000000000001</v>
      </c>
      <c r="F144">
        <f t="shared" ref="F144:M144" si="2">AVERAGE(G124:G128)</f>
        <v>1.1659999999999999</v>
      </c>
      <c r="G144">
        <f t="shared" si="2"/>
        <v>0.9</v>
      </c>
      <c r="H144">
        <f t="shared" si="2"/>
        <v>46.980000000000004</v>
      </c>
      <c r="I144">
        <f t="shared" si="2"/>
        <v>319.29999999999995</v>
      </c>
      <c r="J144">
        <f t="shared" si="2"/>
        <v>0</v>
      </c>
      <c r="K144">
        <f t="shared" si="2"/>
        <v>17.78</v>
      </c>
      <c r="L144">
        <f t="shared" si="2"/>
        <v>0.80619999999999992</v>
      </c>
      <c r="M144">
        <f t="shared" si="2"/>
        <v>60.44</v>
      </c>
    </row>
    <row r="145" spans="4:14" x14ac:dyDescent="0.25">
      <c r="D145" s="3" t="s">
        <v>27</v>
      </c>
      <c r="E145">
        <f>AVERAGE(F129:F133)</f>
        <v>4.7839999999999998</v>
      </c>
      <c r="F145">
        <f t="shared" ref="F145:M145" si="3">AVERAGE(G129:G133)</f>
        <v>3.4660000000000002</v>
      </c>
      <c r="G145">
        <f t="shared" si="3"/>
        <v>1.716</v>
      </c>
      <c r="H145">
        <f t="shared" si="3"/>
        <v>31.920000000000005</v>
      </c>
      <c r="I145">
        <f t="shared" si="3"/>
        <v>539.72</v>
      </c>
      <c r="J145">
        <f t="shared" si="3"/>
        <v>0</v>
      </c>
      <c r="K145">
        <f t="shared" si="3"/>
        <v>17.14</v>
      </c>
      <c r="L145">
        <f t="shared" si="3"/>
        <v>1.0064</v>
      </c>
      <c r="M145">
        <f t="shared" si="3"/>
        <v>69.58</v>
      </c>
    </row>
    <row r="146" spans="4:14" x14ac:dyDescent="0.25">
      <c r="D146" s="3" t="s">
        <v>20</v>
      </c>
      <c r="E146">
        <f>AVERAGE(F134:F138)</f>
        <v>10.234</v>
      </c>
      <c r="F146">
        <f t="shared" ref="F146:M146" si="4">AVERAGE(G134:G138)</f>
        <v>5.6519999999999992</v>
      </c>
      <c r="G146">
        <f t="shared" si="4"/>
        <v>2.444</v>
      </c>
      <c r="H146">
        <f t="shared" si="4"/>
        <v>35.739999999999995</v>
      </c>
      <c r="I146">
        <f t="shared" si="4"/>
        <v>1365.1399999999999</v>
      </c>
      <c r="J146">
        <f t="shared" si="4"/>
        <v>0</v>
      </c>
      <c r="K146">
        <f t="shared" si="4"/>
        <v>13.14</v>
      </c>
      <c r="L146">
        <f t="shared" si="4"/>
        <v>0.83420000000000005</v>
      </c>
      <c r="M146">
        <f t="shared" si="4"/>
        <v>62.679999999999993</v>
      </c>
    </row>
    <row r="149" spans="4:14" ht="45" x14ac:dyDescent="0.25">
      <c r="E149" s="1" t="s">
        <v>8</v>
      </c>
      <c r="F149" s="1" t="s">
        <v>11</v>
      </c>
      <c r="G149" s="1" t="s">
        <v>12</v>
      </c>
      <c r="H149" s="1" t="s">
        <v>13</v>
      </c>
      <c r="I149" s="1" t="s">
        <v>14</v>
      </c>
      <c r="J149" s="1" t="s">
        <v>15</v>
      </c>
      <c r="K149" s="1" t="s">
        <v>16</v>
      </c>
      <c r="L149" s="1" t="s">
        <v>17</v>
      </c>
      <c r="M149" s="1" t="s">
        <v>18</v>
      </c>
      <c r="N149" s="1" t="s">
        <v>10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Reece Willoughby (Student)</dc:creator>
  <cp:lastModifiedBy>reece willougby</cp:lastModifiedBy>
  <dcterms:created xsi:type="dcterms:W3CDTF">2025-12-14T22:58:12Z</dcterms:created>
  <dcterms:modified xsi:type="dcterms:W3CDTF">2025-12-17T14:43:52Z</dcterms:modified>
</cp:coreProperties>
</file>